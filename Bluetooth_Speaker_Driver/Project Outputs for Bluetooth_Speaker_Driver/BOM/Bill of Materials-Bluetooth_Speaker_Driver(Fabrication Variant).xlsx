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vin\Desktop\Bluetooth_Speaker_Setup\Bluetooth_Speaker_Setup\Bluetooth_Speaker_Driver\Project Outputs for Bluetooth_Speaker_Driver\BOM\"/>
    </mc:Choice>
  </mc:AlternateContent>
  <xr:revisionPtr revIDLastSave="0" documentId="13_ncr:1_{64B05309-5BA3-40A8-9BB0-80683B4253E0}" xr6:coauthVersionLast="47" xr6:coauthVersionMax="47" xr10:uidLastSave="{00000000-0000-0000-0000-000000000000}"/>
  <bookViews>
    <workbookView xWindow="-108" yWindow="-108" windowWidth="23256" windowHeight="12456" xr2:uid="{E1141DEF-5C01-4694-9D63-2A4123A1E0B0}"/>
  </bookViews>
  <sheets>
    <sheet name="Bill of Materials-Bluetooth_Spe" sheetId="1" r:id="rId1"/>
  </sheets>
  <definedNames>
    <definedName name="_xlnm.Print_Titles" localSheetId="0">'Bill of Materials-Bluetooth_Spe'!$1:$1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7" i="1" l="1"/>
</calcChain>
</file>

<file path=xl/sharedStrings.xml><?xml version="1.0" encoding="utf-8"?>
<sst xmlns="http://schemas.openxmlformats.org/spreadsheetml/2006/main" count="382" uniqueCount="316">
  <si>
    <t>Comment</t>
  </si>
  <si>
    <t>Description</t>
  </si>
  <si>
    <t>Designator</t>
  </si>
  <si>
    <t>Footprint</t>
  </si>
  <si>
    <t>LibRef</t>
  </si>
  <si>
    <t>Quantity</t>
  </si>
  <si>
    <t>ANT3216_2.45GHz</t>
  </si>
  <si>
    <t>C293767, ANT3216LL00R2400A, -40℃~+105℃ 1.2mm 1.6mm 160MHz 1W 2.45GHz 3.2mm 5.05dBi 50Ω 1206 Antennas ROHS</t>
  </si>
  <si>
    <t>ANT1</t>
  </si>
  <si>
    <t>ANT3216_2.4GHz</t>
  </si>
  <si>
    <t>1uF</t>
  </si>
  <si>
    <t>C307427, CL05B105KQ5NQNC, 1uF 6.3V X7R ±10% 0402 Multilayer Ceramic Capacitors MLCC - SMD/SMT ROHS</t>
  </si>
  <si>
    <t>C1, C7, C12, C13, C19</t>
  </si>
  <si>
    <t>CAPC0402X06N</t>
  </si>
  <si>
    <t>CC0402_1uF_X7R</t>
  </si>
  <si>
    <t>100nF</t>
  </si>
  <si>
    <t>C1882920, CC0201KRX7R5BB104, 100nF 6.3V X7R ±10% 0201 Multilayer Ceramic Capacitors MLCC - SMD/SMT ROHS</t>
  </si>
  <si>
    <t>C2, C3, C4, C5, C8, C9, C10, C11, C18</t>
  </si>
  <si>
    <t>CAPC0201X03N</t>
  </si>
  <si>
    <t>CC0201_100nF_X7R</t>
  </si>
  <si>
    <t>2.2nF</t>
  </si>
  <si>
    <t>C161488. GRM033R71E222KA12D, 2.2nF 25V X7R ±10% 0201 Multilayer Ceramic Capacitors MLCC - SMD/SMT ROHS</t>
  </si>
  <si>
    <t>C6</t>
  </si>
  <si>
    <t>CC0201_2.2nF_X7R</t>
  </si>
  <si>
    <t>0.7pF</t>
  </si>
  <si>
    <t>C907945, GJM0335C1ER70WB01D, 0.7pF 25V C0G 0201 Multilayer Ceramic Capacitors MLCC - SMD/SMT ROHS</t>
  </si>
  <si>
    <t>C14</t>
  </si>
  <si>
    <t>CC0201_0.7pF_COG</t>
  </si>
  <si>
    <t>4.7uF</t>
  </si>
  <si>
    <t>C354262, CC0805KKX7R8BB475, 25V 4.7uF X7R ±10% 0805 Multilayer Ceramic Capacitors MLCC - SMD/SMT ROHS</t>
  </si>
  <si>
    <t>C16, C17, C34, C38</t>
  </si>
  <si>
    <t>CAP0805X13N</t>
  </si>
  <si>
    <t>CC0805_4.7uF_X7R</t>
  </si>
  <si>
    <t>100pF</t>
  </si>
  <si>
    <t>C14663 ,CC0603KRX7R9BB104, 100nF 50V X7R ±10% 0603 Multilayer Ceramic Capacitors MLCC - SMD/SMT ROHS</t>
  </si>
  <si>
    <t>C20, C26, C27, C31</t>
  </si>
  <si>
    <t>CAPC0603X8N</t>
  </si>
  <si>
    <t>CC0603_100pF_X7R</t>
  </si>
  <si>
    <t>10uF</t>
  </si>
  <si>
    <t>C95841, CL21B106KOQNNNE, 10uF 16V X7R ±10% 0805 Multilayer Ceramic Capacitors MLCC - SMD/SMT ROHS</t>
  </si>
  <si>
    <t>C21, C25, C28, C30, C45, C47, C48, C49, C53, C56, C62</t>
  </si>
  <si>
    <t>CAPC0805X14N</t>
  </si>
  <si>
    <t>CC0805_10uF_X7R</t>
  </si>
  <si>
    <t>C107043, CC0603JRNPO9BN222, 2.2nF 50V NP0 ±5% 0603 Multilayer Ceramic Capacitors MLCC - SMD/SMT ROHS</t>
  </si>
  <si>
    <t>C22, C29</t>
  </si>
  <si>
    <t>CC0603_2.2nF_NPO</t>
  </si>
  <si>
    <t>2.2uF</t>
  </si>
  <si>
    <t>C19110 ,CL21B225KAFNNNE, 2.2uF 25V X7R ±10% 0805 Multilayer Ceramic Capacitors MLCC - SMD/SMT ROHS</t>
  </si>
  <si>
    <t>C23, C24</t>
  </si>
  <si>
    <t>CC0805_2.2uF_X7R</t>
  </si>
  <si>
    <t>22pF</t>
  </si>
  <si>
    <t>C105620, CC0603JRNPO9BN220, 22pF 50V NP0 ±5% 0603 Multilayer Ceramic Capacitors MLCC - SMD/SMT ROHS</t>
  </si>
  <si>
    <t>C32, C40</t>
  </si>
  <si>
    <t>CC0603_22pF_NPO</t>
  </si>
  <si>
    <t>22uF</t>
  </si>
  <si>
    <t>C309062, CL32B226KAJNNNE, 22uF 25V X7R ±10% 1210 Multilayer Ceramic Capacitors MLCC - SMD/SMT ROHS</t>
  </si>
  <si>
    <t>C33, C41, C51, C52</t>
  </si>
  <si>
    <t>CAPC1210X25N</t>
  </si>
  <si>
    <t>CC1210_22uF_X7R</t>
  </si>
  <si>
    <t>4.7nF</t>
  </si>
  <si>
    <t>C106218, CC0603KRX7R9BB472, 4.7nF 50V X7R ±10% 0603 Multilayer Ceramic Capacitors MLCC - SMD/SMT ROHS</t>
  </si>
  <si>
    <t>C35</t>
  </si>
  <si>
    <t>CC0603_4.7nF_X7R</t>
  </si>
  <si>
    <t>10nF</t>
  </si>
  <si>
    <t>C100042, CC0603KRX7R9BB103, 10nF 50V X7R ±10% 0603 Multilayer Ceramic Capacitors MLCC - SMD/SMT ROHS</t>
  </si>
  <si>
    <t>C36, C42, C43, C44, C46</t>
  </si>
  <si>
    <t>CC0603_10nF_X7R</t>
  </si>
  <si>
    <t>220nF</t>
  </si>
  <si>
    <t>C464977, GRM31C5C1H224JE02L, 220nF 50V C0G ±5% 1206 Multilayer Ceramic Capacitors MLCC - SMD/SMT ROHS</t>
  </si>
  <si>
    <t>C37, C83, C84, C88, C90</t>
  </si>
  <si>
    <t>CAPC1206X18N</t>
  </si>
  <si>
    <t>CC0603_220nF_NPO, CC1206_220nF_NPO</t>
  </si>
  <si>
    <t>C14663, CC0603KRX7R9BB104, 100nF 50V X7R ±10% 0603 Multilayer Ceramic Capacitors MLCC - SMD/SMT ROHS</t>
  </si>
  <si>
    <t>C39, C50, C54, C57, C61, C63, C75, C81, C100, C105</t>
  </si>
  <si>
    <t>CC0603_100nF_X7R</t>
  </si>
  <si>
    <t>75pF</t>
  </si>
  <si>
    <t>C282074, CC0603JRNPO9BN750, 50V 75pF NP0 ±5% 0603 Multilayer Ceramic Capacitors MLCC - SMD/SMT ROHS</t>
  </si>
  <si>
    <t>C55</t>
  </si>
  <si>
    <t>CC0603_75pF_NPO</t>
  </si>
  <si>
    <t>C28323, CL21B105KBFNNNE, 1uF 50V X7R ±10% 0805 Multilayer Ceramic Capacitors MLCC - SMD/SMT ROHS</t>
  </si>
  <si>
    <t>C58, C60, C64, C87, C89, C91, C94, C95, C98, C108, C111, C112, C113</t>
  </si>
  <si>
    <t>CC0805_1uF_X7R</t>
  </si>
  <si>
    <t>470uF</t>
  </si>
  <si>
    <t>C3350, RVT1V471M1010, -55℃~+105℃ 10.2mm 10mm 2000hrs@105℃ 35V 470uF ±20% SMD,D10xL10.2mm Aluminum Electrolytic Capacitors - SMD ROHS</t>
  </si>
  <si>
    <t>C59</t>
  </si>
  <si>
    <t>CAPD10XL11.1X10.2M</t>
  </si>
  <si>
    <t>CPD10XL10.2_470uF_ALUM</t>
  </si>
  <si>
    <t>C97946, GRM31C5C1H104JA01L, 100nF 50V C0G ±5% 1206 Multilayer Ceramic Capacitors MLCC - SMD/SMT ROHS</t>
  </si>
  <si>
    <t>C65, C66</t>
  </si>
  <si>
    <t>CC1206_100nF_C0G</t>
  </si>
  <si>
    <t>C5246550, HV1V106M0605PZ, -55℃~+105℃ 10uF 2.2mm 2000hrs 35V 5.8mm 6.3mm ±20% SMD,D6.3xL5.8mm Polymer Aluminum Capacitors ROHS</t>
  </si>
  <si>
    <t>C67, C70, C71, C72, C73</t>
  </si>
  <si>
    <t>CAPD6.3XL5.8X61M</t>
  </si>
  <si>
    <t>CPD6.3XL5.8_10uF_POLYMER</t>
  </si>
  <si>
    <t>390nF</t>
  </si>
  <si>
    <t>C1854267, CC0805KKX7R9BB394, 390nF 50V X7R ±10% 0805 Multilayer Ceramic Capacitors MLCC - SMD/SMT ROHS</t>
  </si>
  <si>
    <t>C68, C69</t>
  </si>
  <si>
    <t>CC0805_390nF_X7R</t>
  </si>
  <si>
    <t>100uF</t>
  </si>
  <si>
    <t>C5246554, HV1V107M0607PZ, -55℃~+105℃ 100uF 2.2mm 2000hrs 35V 6.3mm 7.7mm ±20% SMD,D6.3xL7.7mm Polymer Aluminum Capacitors ROHS</t>
  </si>
  <si>
    <t>C74, C80, C99, C104</t>
  </si>
  <si>
    <t>CAPD6.3XL6.3X77M</t>
  </si>
  <si>
    <t>CPD6.3XL7.7_100uF_POLY</t>
  </si>
  <si>
    <t>1nF</t>
  </si>
  <si>
    <t>C100040, CC0603KRX7R9BB102, 1nF 50V X7R ±10% 0603 Multilayer Ceramic Capacitors MLCC - SMD/SMT ROHS, C106246, CC0603JRNPO9BN102, 1nF 50V NP0 ±5% 0603 Multilayer Ceramic Capacitors MLCC - SMD/SMT ROHS</t>
  </si>
  <si>
    <t>C76, C77, C78, C82, C85, C86, C92, C93, C96, C97, C101, C106</t>
  </si>
  <si>
    <t>CC0603_1nF_X7R, CC0603_1nF_NPO</t>
  </si>
  <si>
    <t>220uF</t>
  </si>
  <si>
    <t>C5246541, HV1E227M0607PZ, -55℃~+105℃ 2.2mm 2000hrs 220uF 25V 6.3mm 7.7mm ±20% SMD,D6.3xL7.7mm Polymer Aluminum Capacitors ROHS</t>
  </si>
  <si>
    <t>C79, C102</t>
  </si>
  <si>
    <t>CPD6.3XL7.7_220uF_POLY</t>
  </si>
  <si>
    <t>680nF</t>
  </si>
  <si>
    <t>C145012, CC1206KKX7R9BB684, 50V 680nF X7R ±10% 1206 Multilayer Ceramic Capacitors MLCC - SMD/SMT ROHS</t>
  </si>
  <si>
    <t>C103, C110</t>
  </si>
  <si>
    <t>CC1206_680nF_X7R</t>
  </si>
  <si>
    <t>470nF</t>
  </si>
  <si>
    <t>C277483, CC1206KKX7R9BB474, 470nF 50V X7R ±10% 1206 Multilayer Ceramic Capacitors MLCC - SMD/SMT ROHS</t>
  </si>
  <si>
    <t>C107, C109</t>
  </si>
  <si>
    <t>CC1206_470nF_X7R</t>
  </si>
  <si>
    <t>FB_3A</t>
  </si>
  <si>
    <t>C107332, MPZ1608S101ATAH0, -55℃~+125℃ 1 100Ω@100MHz 30mΩ 3A ±25% 0603 Ferrite Beads ROHS</t>
  </si>
  <si>
    <t>FB1, FB2, FB4, FB5, FB6</t>
  </si>
  <si>
    <t>FB0603X08N</t>
  </si>
  <si>
    <t>FB0603_3A</t>
  </si>
  <si>
    <t>FB_6A</t>
  </si>
  <si>
    <t>C136227, MPZ2012S300AT000, -55℃~+125℃ 1 10mΩ 30Ω@100MHz 6A ±25% 0805 Ferrite Beads ROHS</t>
  </si>
  <si>
    <t>FB3, FB7</t>
  </si>
  <si>
    <t>FB0805X12N</t>
  </si>
  <si>
    <t>FB0805_6A</t>
  </si>
  <si>
    <t>4.7uH</t>
  </si>
  <si>
    <t>C91237, MLP2520S4R7MT0S1, 130mΩ 1A 4.7uH Multilayer inductor ±20% 1008 Inductors (SMD) ROHS</t>
  </si>
  <si>
    <t>IN1, IN2</t>
  </si>
  <si>
    <t>INDC2520X10N</t>
  </si>
  <si>
    <t>IN2520_4.7uH_1A</t>
  </si>
  <si>
    <t>15uH</t>
  </si>
  <si>
    <t>C5189959, CYA0630-15UH, 15uH 3.8A 3A 98mΩ ±20% SMD,7.2x6.6mm Inductors (SMD) ROHS</t>
  </si>
  <si>
    <t>IN3</t>
  </si>
  <si>
    <t>INDM7266X30N</t>
  </si>
  <si>
    <t>IN7266_15uH_3A</t>
  </si>
  <si>
    <t>SWD_CONN_2X5P_1.27MM</t>
  </si>
  <si>
    <t>C42372547, HX JN1.27-2x5P ZZ H4.9, -40℃~+105℃ 1.27mm 1.27mm 1A 2 2x5P 5 500V Black Copper Gold IDC Header Through Hole Plugin,P=1.27mm IDC Connectors ROHS</t>
  </si>
  <si>
    <t>J1</t>
  </si>
  <si>
    <t>CONN_2X5P_1.27MM - duplicate</t>
  </si>
  <si>
    <t>JST_GH_4_PIN</t>
  </si>
  <si>
    <t>C161692, BM04B-GHS-TBT(LF)(SN), -25℃~+85℃ 1 1.25mm 1A 1x4P 4 4.05mm 4.32mm 4P 50V 8.25mm Auxiliary Solder Pin GH PA9T Phosphor bronze Surface Mount,Vertical Tin UL94V-0 White SMD,P=1.25mm Wire To Board Connector ROHS</t>
  </si>
  <si>
    <t>J2</t>
  </si>
  <si>
    <t>JST_GH_8_PIN</t>
  </si>
  <si>
    <t>C133062, BM08B-GHS-TBT(LF)(SN), -25℃~+85℃ 1 1.25mm 13.25mm 1A 1x8P 4.05mm 4.32mm 50V 8 8P Auxiliary Solder Pin GH PA9T Phosphor bronze Surface Mount,Vertical Tin UL94V-0 White SMD,P=1.25mm Wire To Board Connector ROHS</t>
  </si>
  <si>
    <t>J3</t>
  </si>
  <si>
    <t>USB_TYPE_A_FE</t>
  </si>
  <si>
    <t>C456018, AF 90 WJDG, -25℃~+85℃ 1 1.5A 14mm 30V 4P 5,000 times Female Right Angle Type-A USB 2.0 White 弯插 USB Connectors ROHS</t>
  </si>
  <si>
    <t>J4</t>
  </si>
  <si>
    <t>JST_S2P_VH</t>
  </si>
  <si>
    <t>C160355, S2P-VH(LF)(SN), -25℃~+85℃ 1 10A 13.9mm 1x2P 2 250V 2P 3.96mm 7.86mm Brass PA66 Right Angle Tin UL94V-0 VH White 弯插,P=3.96mm Wire To Board Connector ROHS</t>
  </si>
  <si>
    <t>J5</t>
  </si>
  <si>
    <t>JST_B2B-XH-A-GU</t>
  </si>
  <si>
    <t>C265283, B2B-XH-A-GU, -25℃~+85℃ 1 1x2P 2 2.5mm 250V 2P 3A 5.75mm 7.4mm 7mm Brass Gold K Pin PA66 Through Hole UL94V-0 White XH 插件,P=2.5mm Wire To Board Connector ROHS</t>
  </si>
  <si>
    <t>J6, J7, J8</t>
  </si>
  <si>
    <t>JST_B2B_XH_A_GU</t>
  </si>
  <si>
    <t>10uH</t>
  </si>
  <si>
    <t>C76798, MLZ1608M100WT000, 1.05Ω 10uH 250mA 2MHz 90mA Multilayer inductor ±20% 0603 Inductors (SMD) ROHS</t>
  </si>
  <si>
    <t>L1, L2</t>
  </si>
  <si>
    <t>INDC0603X08N</t>
  </si>
  <si>
    <t>IN0603_10uH</t>
  </si>
  <si>
    <t>2.2nH</t>
  </si>
  <si>
    <t>C98041, LQP03TN2N2B02D, 11GHz 14@500MHz 150mΩ 2.2nH 600mA Thick Film Inductor 0201 Inductors (SMD) ROHS</t>
  </si>
  <si>
    <t>L3, L4</t>
  </si>
  <si>
    <t>INDC0201</t>
  </si>
  <si>
    <t>IN0201_2.2nH</t>
  </si>
  <si>
    <t>1.5nH</t>
  </si>
  <si>
    <t>C77114, LQP03TN1N5B02D, 1.5nH 14@500MHz 150mΩ 15GHz 600mA Thick Film Inductor 0201 Inductors (SMD) ROHS</t>
  </si>
  <si>
    <t>L5</t>
  </si>
  <si>
    <t>IN0201_1.5nH</t>
  </si>
  <si>
    <t>1.8nH</t>
  </si>
  <si>
    <t>C98040, LQP03TN1N8B02D, 1.8nH 14@500MHz 150mΩ 15GHz 600mA Thick Film Inductor 0201 Inductors (SMD) ROHS</t>
  </si>
  <si>
    <t>L7</t>
  </si>
  <si>
    <t>IN0201_1.8nH</t>
  </si>
  <si>
    <t>C168076, FNR6045S100MT, 10uH 2.7A 3.5A 62mΩ Magnetic Shielded Inductor ±20% SMD,6x6mm Power Inductors ROHS</t>
  </si>
  <si>
    <t>L8, L9</t>
  </si>
  <si>
    <t>INDC6060X45N</t>
  </si>
  <si>
    <t>IN0606_10uH_2.7A</t>
  </si>
  <si>
    <t>LED_YELLOW</t>
  </si>
  <si>
    <t>C965814, XL-2012UYC, 120° 2.3V 20mA 50mW 585nm~595nm 590nm Discrete Diode Top-mount Water Clear Yellow 0805 LED Indication - Discrete ROHS</t>
  </si>
  <si>
    <t>LED1A, LED1B, LED1C, LED1D</t>
  </si>
  <si>
    <t>LED_0805_127P120X200-2N</t>
  </si>
  <si>
    <t>LED0805_YELLOW</t>
  </si>
  <si>
    <t>AO3400A</t>
  </si>
  <si>
    <t>C347475, AO3400A, -55℃~+150℃ 1 N-channel 1.1V 1.4W 17mΩ@10V 30V 5.8A 77pF 823pF 9.7nC@4.5V 99pF SOT-23 MOSFETs ROHS</t>
  </si>
  <si>
    <t>Q1A, Q1B, Q1C, Q1D</t>
  </si>
  <si>
    <t>SOT23_P240X110-3N</t>
  </si>
  <si>
    <t>SOT_23_AO3400A</t>
  </si>
  <si>
    <t>2.2 ohm</t>
  </si>
  <si>
    <t>C474415, RC0201JR-072R2L, -100ppm/℃~+350ppm/℃ -55℃~+125℃ 2.2Ω 25V 50mW Thick Film Resistor ±5% 0201 Chip Resistor - Surface Mount ROHS</t>
  </si>
  <si>
    <t>R1</t>
  </si>
  <si>
    <t>REC0201_2.2_THICK</t>
  </si>
  <si>
    <t>50 ohm</t>
  </si>
  <si>
    <t>C849792, RT0603BRE0750RL, -55℃~+155℃ 100mW 50Ω 75V Thin Film Resistor ±0.1% ±50ppm/℃ 0603 Chip Resistor - Surface Mount ROHS</t>
  </si>
  <si>
    <t>R2A, R2B, R2C, R2D</t>
  </si>
  <si>
    <t>RECS0603X45N</t>
  </si>
  <si>
    <t>RESC0603_50_THIN</t>
  </si>
  <si>
    <t>100 ohm</t>
  </si>
  <si>
    <t>C122970, RT0603BRD07100RL, -55℃~+155℃ 100mW 100Ω 75V Thin Film Resistor ±0.1% ±25ppm/℃ 0603 Chip Resistor - Surface Mount ROHS</t>
  </si>
  <si>
    <t>R3A, R3B, R3C, R3D, R10</t>
  </si>
  <si>
    <t>RESC0603_100_THIN</t>
  </si>
  <si>
    <t>100k</t>
  </si>
  <si>
    <t>C116674, AC0603FR-07100KL, -55℃~+155℃ 100kΩ 100mW 75V Thick Film Resistor ±1% ±100ppm/℃ 0603 Chip Resistor - Surface Mount ROHS</t>
  </si>
  <si>
    <t>R4A, R4B, R4C, R4D, R9, R12, R13, R17, R25, R28, R29, R30, R31, R39, R41, R44, R46, R48</t>
  </si>
  <si>
    <t>RESC0603_100K_THIN</t>
  </si>
  <si>
    <t>470 ohm</t>
  </si>
  <si>
    <t>C705857,RT0603BRE07470RL, -55℃~+155℃ 100mW 470Ω 75V Thin Film Resistor ±0.1% ±50ppm/℃ 0603 Chip Resistor - Surface Mount ROHS</t>
  </si>
  <si>
    <t>R5, R6</t>
  </si>
  <si>
    <t>RESC0603_470_THIN</t>
  </si>
  <si>
    <t>510K</t>
  </si>
  <si>
    <t>C114066, RC0603FR-07510KL, -55℃~+155℃ 100mW 510kΩ 75V Thick Film Resistor ±1% ±100ppm/℃ 0603 Chip Resistor - Surface Mount ROHS</t>
  </si>
  <si>
    <t>R7, R11</t>
  </si>
  <si>
    <t>RESC0603_510K_THICK</t>
  </si>
  <si>
    <t>130K</t>
  </si>
  <si>
    <t>C163432, RC0603FR-07130KL, -55℃~+155℃ 100mW 130kΩ 75V Thick Film Resistor ±1% ±100ppm/℃ 0603 Chip Resistor - Surface Mount ROHS</t>
  </si>
  <si>
    <t>R8</t>
  </si>
  <si>
    <t>RESC0603_130K_THICK</t>
  </si>
  <si>
    <t>320k</t>
  </si>
  <si>
    <t>C20165692, RT0603BRD07320KL, -55℃~+155℃ 100mW 320kΩ 75V Thin Film Resistor ±0.1% ±25ppm/℃ 0603 Chip Resistor - Surface Mount ROHS</t>
  </si>
  <si>
    <t>R14</t>
  </si>
  <si>
    <t>RESC0603_320K_THIN</t>
  </si>
  <si>
    <t>324k</t>
  </si>
  <si>
    <t>C861321, RT0603BRD07324KL, -55℃~+155℃ 100mW 324kΩ 75V Thin Film Resistor ±0.1% ±25ppm/℃ 0603 Chip Resistor - Surface Mount ROHS</t>
  </si>
  <si>
    <t>R15</t>
  </si>
  <si>
    <t>RESC0603_324K_THIN</t>
  </si>
  <si>
    <t>49.9 ohm</t>
  </si>
  <si>
    <t>C23185, 0603WAF499JT5E, -55℃~+155℃ 100mW 49.9Ω 75V Thick Film Resistor ±1% ±100ppm/℃ 0603 Chip Resistor - Surface Mount ROHS</t>
  </si>
  <si>
    <t>R16</t>
  </si>
  <si>
    <t>RESC0603_49.9_THIN</t>
  </si>
  <si>
    <t>13.3k</t>
  </si>
  <si>
    <t>C185373, RC0603FR-0713K3L, -55℃~+155℃ 100mW 13.3kΩ 75V Thick Film Resistor ±1% ±100ppm/℃ 0603 Chip Resistor - Surface Mount ROHS</t>
  </si>
  <si>
    <t>R18</t>
  </si>
  <si>
    <t>REC0603_13.3K_THICK</t>
  </si>
  <si>
    <t>11k</t>
  </si>
  <si>
    <t>C728581, RT0603BRD0711KL, -55℃~+155℃ 100mW 11kΩ 75V Thin Film Resistor ±0.1% ±25ppm/℃ 0603 Chip Resistor - Surface Mount ROHS</t>
  </si>
  <si>
    <t>R19, R20, R21, R24, R26, R27</t>
  </si>
  <si>
    <t>RESC0603_11K_THIN</t>
  </si>
  <si>
    <t>5.6k</t>
  </si>
  <si>
    <t>C179095, RT0603BRD075K6L, -55℃~+155℃ 100mW 5.6kΩ 75V Thin Film Resistor ±0.1% ±25ppm/℃ 0603 Chip Resistor - Surface Mount ROHS</t>
  </si>
  <si>
    <t>R22, R23</t>
  </si>
  <si>
    <t>RESC0603_5.6K_THIN</t>
  </si>
  <si>
    <t>4.7k</t>
  </si>
  <si>
    <t>C513565, RT0603BRD074K7L, -55℃~+155℃ 100mW 4.7kΩ 75V Thin Film Resistor ±0.1% ±25ppm/℃ 0603 Chip Resistor - Surface Mount ROHS</t>
  </si>
  <si>
    <t>R32, R35</t>
  </si>
  <si>
    <t>RESC0603_4.7K_THIN</t>
  </si>
  <si>
    <t>10k</t>
  </si>
  <si>
    <t>C95204, RT0603BRD0710KL, -55℃~+155℃ 100mW 10kΩ 75V Thin Film Resistor ±0.1% ±25ppm/℃ 0603 Chip Resistor - Surface Mount ROHS</t>
  </si>
  <si>
    <t>R33, R34</t>
  </si>
  <si>
    <t>RESC0603_10K_THIN</t>
  </si>
  <si>
    <t>68 ohm</t>
  </si>
  <si>
    <t>C861523, RT0603BRD0768RL, -55℃~+155℃ 100mW 68Ω 75V Thin Film Resistor ±0.1% ±25ppm/℃ 0603 Chip Resistor - Surface Mount ROHS</t>
  </si>
  <si>
    <t>R36, R37, R38, R43</t>
  </si>
  <si>
    <t>RESC0603_68_THIN</t>
  </si>
  <si>
    <t>51K</t>
  </si>
  <si>
    <t>C107231, RC0603FR-0751KL, -55℃~+155℃ 100mW 51kΩ 75V Thick Film Resistor ±1% ±100ppm/℃ 0603 Chip Resistor - Surface Mount ROHS</t>
  </si>
  <si>
    <t>R40, R45</t>
  </si>
  <si>
    <t>RESC0603_51K_THICK</t>
  </si>
  <si>
    <t>39K</t>
  </si>
  <si>
    <t>C163424, RC0603FR-0739KL, -55℃~+155℃ 100mW 39kΩ 75V Thick Film Resistor ±1% ±100ppm/℃ 0603 Chip Resistor - Surface Mount ROHS</t>
  </si>
  <si>
    <t>R42, R47</t>
  </si>
  <si>
    <t>RESC0603_39K_THICK</t>
  </si>
  <si>
    <t>SCHDIOSMB_1A</t>
  </si>
  <si>
    <t>C86598, STPS160U, 1 Independent 1A 4uA@60V 60V 670mV@1A 75A SMB Schottky Diodes ROHS</t>
  </si>
  <si>
    <t>SD1, SD2</t>
  </si>
  <si>
    <t>SD_SMB_1A</t>
  </si>
  <si>
    <t>PB_SW</t>
  </si>
  <si>
    <t>C49393629, R4A25211L, 1.8N 12V 50mA Gull Wing Rectangular Button SPST-NO Surface Mount,Vertical White SMD Pushbutton Switches ROHS</t>
  </si>
  <si>
    <t>SW1, SW2, SW3, SW4, SW5, SW6, SW7, SW8</t>
  </si>
  <si>
    <t>SW_PB_2</t>
  </si>
  <si>
    <t>SW_SMD_PUSH</t>
  </si>
  <si>
    <t>nRF5340-QKAA</t>
  </si>
  <si>
    <t>Multi-protocol Bluetooth Low Energy, IEEE 802.15.4, ANT and 2.4GHz proprietary system-on-chip</t>
  </si>
  <si>
    <t>U1</t>
  </si>
  <si>
    <t>AQFN40P700X700X85_HS-99N</t>
  </si>
  <si>
    <t>PCM5102APWR</t>
  </si>
  <si>
    <t>C107671, PCM5102APWR, -25℃~+85℃ 1.8V~3.3V 2 32 384kHz 500uA 50MHz Audio Decoder I2S TSSOP-20 ADCs/DACs - Special Purpose ROHS</t>
  </si>
  <si>
    <t>U2</t>
  </si>
  <si>
    <t>SOP65P640X120-20N</t>
  </si>
  <si>
    <t>TPS65131RGER</t>
  </si>
  <si>
    <t>C87663, TPS65131RGER, -15V~-2V、500mV~15V -40℃~+85℃@(TA)、-40℃~+125℃@(TJ) 1.25MHz~1.5MHz 1.95A 2 2.7V~5.5V 500uA Adjustable Boost、Inverting Buck-Boost Built-in No QFN-24-EP(4x4) DC-DC Converters ROHS</t>
  </si>
  <si>
    <t>U3</t>
  </si>
  <si>
    <t>QFN50P400X400X100-25N-D</t>
  </si>
  <si>
    <t>TPS7A4901DGNR</t>
  </si>
  <si>
    <t>C16430, TPS7A4901DGNR,  -40℃~+125℃@(Tj) 1 1.194V~33V 15.4uVrms 150mA 260mV@(100mA) 35V 49uA 72dB@(120Hz) Adjustable Positive Under Voltage Lockout、Over Current Protection、Over Temperature Protection、Enable HVSSOP-8 Voltage Regulators - Linear, Low Drop Out (LDO) Regulators ROHS</t>
  </si>
  <si>
    <t>U4</t>
  </si>
  <si>
    <t>SOP65P490X110-9N</t>
  </si>
  <si>
    <t>TPS7A3001DGNR</t>
  </si>
  <si>
    <t>C33835, TPS7A3001DGNR, -40℃~+125℃@(Tj) 1 1.18V~33V 15.1uVrms 200mA 216mV@(100mA) 36V 55uA 72dB@(120Hz) Adjustable Negative Over Current Protection、Enable、Thermal Shutdown HVSSOP-8 Voltage Regulators - Linear, Low Drop Out (LDO) Regulators ROHS</t>
  </si>
  <si>
    <t>U5</t>
  </si>
  <si>
    <t>TPS54202DDCR</t>
  </si>
  <si>
    <t>C191884, TPS54202DDCR, -40℃~+125℃@(TJ) 1 2A 4.5V~28V 45uA 500kHz Adjustable Buck Buck Built-in Yes SOT-23-6 DC-DC Converters ROHS</t>
  </si>
  <si>
    <t>U6</t>
  </si>
  <si>
    <t>TLV75533PDBVR</t>
  </si>
  <si>
    <t>C404027, TLV75533PDBVR, -40℃~+125℃@(Tj) 1 238mV@(500mA) 25uA 3.3V 46dB@(100kHz) 5.5V 500mA 71.5uVrms Fixed Over Current Protection、Thermal Shutdown、Input undervoltage protection Positive SOT-23-5 Voltage Regulators - Linear, Low Drop Out (LDO) Regulators ROHS</t>
  </si>
  <si>
    <t>U7</t>
  </si>
  <si>
    <t>SOT95P280X145-5N</t>
  </si>
  <si>
    <t>TPS7A2033PDBVR</t>
  </si>
  <si>
    <t>C2862740, TPS7A2033PDBVR, -40℃~+125℃@(Tj) 1 10uVrms 140mV@(300mA) 3.3V 300mA 65dB@(100kHz) 6V 8.5uA Fixed Over Current Protection、Enable Positive SOT-23-5 Voltage Regulators - Linear, Low Drop Out (LDO) Regulators ROHS</t>
  </si>
  <si>
    <t>U8</t>
  </si>
  <si>
    <t>RC4580IDR</t>
  </si>
  <si>
    <t>C80100, RC4580IDR, -16V~-2V、2V~16V -40℃~+85℃ 0.0005% 110dB 2-Channel 9mA SOIC-8 Audio Amplifiers ROHS</t>
  </si>
  <si>
    <t>U9, U10</t>
  </si>
  <si>
    <t>SOIC127P600X175-8N</t>
  </si>
  <si>
    <t>TPA3138D2PWPR</t>
  </si>
  <si>
    <t>C475506, TPA3138D2PWPR, -10℃~+85℃ -70dB 0.04% 102dB 10W×2@6Ω、18.5W×1@4Ω 2-Channel 20mA 3.5V~14.4V Automatic mute/no-noise switch、Overvoltage protection、Digital programmable gain Class D TSSOP-28-EP Audio Amplifiers ROHS</t>
  </si>
  <si>
    <t>U11, U12</t>
  </si>
  <si>
    <t>SOP65P640X120-29N</t>
  </si>
  <si>
    <t>32MHz</t>
  </si>
  <si>
    <t>C20617581, XL2MI-111-32M, -40℃~+85℃ 10pF 32MHz 40Ω Crystal Oscillator ±10ppm ±20ppm SMD3225-4P Crystals ROHS</t>
  </si>
  <si>
    <t>X1</t>
  </si>
  <si>
    <t>CRYOSC_3.2X2.5M</t>
  </si>
  <si>
    <t>SMD3225_4P_32MHz_OSC</t>
  </si>
  <si>
    <t>Total 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</si>
</sst>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0" borderId="1" xfId="0" quotePrefix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4E779-6E6F-4461-AC3A-482335A3FC1B}">
  <dimension ref="A1:F77"/>
  <sheetViews>
    <sheetView tabSelected="1" topLeftCell="A74" zoomScale="85" zoomScaleNormal="85" workbookViewId="0">
      <selection activeCell="D80" sqref="D80"/>
    </sheetView>
  </sheetViews>
  <sheetFormatPr defaultRowHeight="14.4" x14ac:dyDescent="0.3"/>
  <cols>
    <col min="1" max="1" width="19" style="5" customWidth="1"/>
    <col min="2" max="2" width="20.77734375" style="5" customWidth="1"/>
    <col min="3" max="6" width="19" style="5" customWidth="1"/>
    <col min="7" max="16384" width="8.88671875" style="5"/>
  </cols>
  <sheetData>
    <row r="1" spans="1:6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0.8" x14ac:dyDescent="0.3">
      <c r="A2" s="3" t="s">
        <v>6</v>
      </c>
      <c r="B2" s="3" t="s">
        <v>7</v>
      </c>
      <c r="C2" s="3" t="s">
        <v>8</v>
      </c>
      <c r="D2" s="3" t="s">
        <v>9</v>
      </c>
      <c r="E2" s="3" t="s">
        <v>6</v>
      </c>
      <c r="F2" s="4">
        <v>1</v>
      </c>
    </row>
    <row r="3" spans="1:6" ht="86.4" x14ac:dyDescent="0.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4">
        <v>5</v>
      </c>
    </row>
    <row r="4" spans="1:6" ht="86.4" x14ac:dyDescent="0.3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4">
        <v>9</v>
      </c>
    </row>
    <row r="5" spans="1:6" ht="86.4" x14ac:dyDescent="0.3">
      <c r="A5" s="3" t="s">
        <v>20</v>
      </c>
      <c r="B5" s="3" t="s">
        <v>21</v>
      </c>
      <c r="C5" s="3" t="s">
        <v>22</v>
      </c>
      <c r="D5" s="3" t="s">
        <v>18</v>
      </c>
      <c r="E5" s="3" t="s">
        <v>23</v>
      </c>
      <c r="F5" s="4">
        <v>1</v>
      </c>
    </row>
    <row r="6" spans="1:6" ht="86.4" x14ac:dyDescent="0.3">
      <c r="A6" s="3" t="s">
        <v>24</v>
      </c>
      <c r="B6" s="3" t="s">
        <v>25</v>
      </c>
      <c r="C6" s="3" t="s">
        <v>26</v>
      </c>
      <c r="D6" s="3" t="s">
        <v>18</v>
      </c>
      <c r="E6" s="3" t="s">
        <v>27</v>
      </c>
      <c r="F6" s="4">
        <v>1</v>
      </c>
    </row>
    <row r="7" spans="1:6" ht="86.4" x14ac:dyDescent="0.3">
      <c r="A7" s="3" t="s">
        <v>28</v>
      </c>
      <c r="B7" s="3" t="s">
        <v>29</v>
      </c>
      <c r="C7" s="3" t="s">
        <v>30</v>
      </c>
      <c r="D7" s="3" t="s">
        <v>31</v>
      </c>
      <c r="E7" s="3" t="s">
        <v>32</v>
      </c>
      <c r="F7" s="4">
        <v>4</v>
      </c>
    </row>
    <row r="8" spans="1:6" ht="86.4" x14ac:dyDescent="0.3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4">
        <v>4</v>
      </c>
    </row>
    <row r="9" spans="1:6" ht="86.4" x14ac:dyDescent="0.3">
      <c r="A9" s="3" t="s">
        <v>38</v>
      </c>
      <c r="B9" s="3" t="s">
        <v>39</v>
      </c>
      <c r="C9" s="3" t="s">
        <v>40</v>
      </c>
      <c r="D9" s="3" t="s">
        <v>41</v>
      </c>
      <c r="E9" s="3" t="s">
        <v>42</v>
      </c>
      <c r="F9" s="4">
        <v>11</v>
      </c>
    </row>
    <row r="10" spans="1:6" ht="86.4" x14ac:dyDescent="0.3">
      <c r="A10" s="3" t="s">
        <v>20</v>
      </c>
      <c r="B10" s="3" t="s">
        <v>43</v>
      </c>
      <c r="C10" s="3" t="s">
        <v>44</v>
      </c>
      <c r="D10" s="3" t="s">
        <v>36</v>
      </c>
      <c r="E10" s="3" t="s">
        <v>45</v>
      </c>
      <c r="F10" s="4">
        <v>2</v>
      </c>
    </row>
    <row r="11" spans="1:6" ht="86.4" x14ac:dyDescent="0.3">
      <c r="A11" s="3" t="s">
        <v>46</v>
      </c>
      <c r="B11" s="3" t="s">
        <v>47</v>
      </c>
      <c r="C11" s="3" t="s">
        <v>48</v>
      </c>
      <c r="D11" s="3" t="s">
        <v>31</v>
      </c>
      <c r="E11" s="3" t="s">
        <v>49</v>
      </c>
      <c r="F11" s="4">
        <v>2</v>
      </c>
    </row>
    <row r="12" spans="1:6" ht="86.4" x14ac:dyDescent="0.3">
      <c r="A12" s="3" t="s">
        <v>50</v>
      </c>
      <c r="B12" s="3" t="s">
        <v>51</v>
      </c>
      <c r="C12" s="3" t="s">
        <v>52</v>
      </c>
      <c r="D12" s="3" t="s">
        <v>36</v>
      </c>
      <c r="E12" s="3" t="s">
        <v>53</v>
      </c>
      <c r="F12" s="4">
        <v>2</v>
      </c>
    </row>
    <row r="13" spans="1:6" ht="86.4" x14ac:dyDescent="0.3">
      <c r="A13" s="3" t="s">
        <v>54</v>
      </c>
      <c r="B13" s="3" t="s">
        <v>55</v>
      </c>
      <c r="C13" s="3" t="s">
        <v>56</v>
      </c>
      <c r="D13" s="3" t="s">
        <v>57</v>
      </c>
      <c r="E13" s="3" t="s">
        <v>58</v>
      </c>
      <c r="F13" s="4">
        <v>4</v>
      </c>
    </row>
    <row r="14" spans="1:6" ht="86.4" x14ac:dyDescent="0.3">
      <c r="A14" s="3" t="s">
        <v>59</v>
      </c>
      <c r="B14" s="3" t="s">
        <v>60</v>
      </c>
      <c r="C14" s="3" t="s">
        <v>61</v>
      </c>
      <c r="D14" s="3" t="s">
        <v>36</v>
      </c>
      <c r="E14" s="3" t="s">
        <v>62</v>
      </c>
      <c r="F14" s="4">
        <v>1</v>
      </c>
    </row>
    <row r="15" spans="1:6" ht="86.4" x14ac:dyDescent="0.3">
      <c r="A15" s="3" t="s">
        <v>63</v>
      </c>
      <c r="B15" s="3" t="s">
        <v>64</v>
      </c>
      <c r="C15" s="3" t="s">
        <v>65</v>
      </c>
      <c r="D15" s="3" t="s">
        <v>36</v>
      </c>
      <c r="E15" s="3" t="s">
        <v>66</v>
      </c>
      <c r="F15" s="4">
        <v>5</v>
      </c>
    </row>
    <row r="16" spans="1:6" ht="86.4" x14ac:dyDescent="0.3">
      <c r="A16" s="3" t="s">
        <v>67</v>
      </c>
      <c r="B16" s="3" t="s">
        <v>68</v>
      </c>
      <c r="C16" s="3" t="s">
        <v>69</v>
      </c>
      <c r="D16" s="3" t="s">
        <v>70</v>
      </c>
      <c r="E16" s="3" t="s">
        <v>71</v>
      </c>
      <c r="F16" s="4">
        <v>5</v>
      </c>
    </row>
    <row r="17" spans="1:6" ht="86.4" x14ac:dyDescent="0.3">
      <c r="A17" s="3" t="s">
        <v>15</v>
      </c>
      <c r="B17" s="3" t="s">
        <v>72</v>
      </c>
      <c r="C17" s="3" t="s">
        <v>73</v>
      </c>
      <c r="D17" s="3" t="s">
        <v>36</v>
      </c>
      <c r="E17" s="3" t="s">
        <v>74</v>
      </c>
      <c r="F17" s="4">
        <v>10</v>
      </c>
    </row>
    <row r="18" spans="1:6" ht="86.4" x14ac:dyDescent="0.3">
      <c r="A18" s="3" t="s">
        <v>75</v>
      </c>
      <c r="B18" s="3" t="s">
        <v>76</v>
      </c>
      <c r="C18" s="3" t="s">
        <v>77</v>
      </c>
      <c r="D18" s="3" t="s">
        <v>36</v>
      </c>
      <c r="E18" s="3" t="s">
        <v>78</v>
      </c>
      <c r="F18" s="4">
        <v>1</v>
      </c>
    </row>
    <row r="19" spans="1:6" ht="86.4" x14ac:dyDescent="0.3">
      <c r="A19" s="3" t="s">
        <v>10</v>
      </c>
      <c r="B19" s="3" t="s">
        <v>79</v>
      </c>
      <c r="C19" s="3" t="s">
        <v>80</v>
      </c>
      <c r="D19" s="3" t="s">
        <v>31</v>
      </c>
      <c r="E19" s="3" t="s">
        <v>81</v>
      </c>
      <c r="F19" s="4">
        <v>13</v>
      </c>
    </row>
    <row r="20" spans="1:6" ht="115.2" x14ac:dyDescent="0.3">
      <c r="A20" s="3" t="s">
        <v>82</v>
      </c>
      <c r="B20" s="3" t="s">
        <v>83</v>
      </c>
      <c r="C20" s="3" t="s">
        <v>84</v>
      </c>
      <c r="D20" s="3" t="s">
        <v>85</v>
      </c>
      <c r="E20" s="3" t="s">
        <v>86</v>
      </c>
      <c r="F20" s="4">
        <v>1</v>
      </c>
    </row>
    <row r="21" spans="1:6" ht="86.4" x14ac:dyDescent="0.3">
      <c r="A21" s="3" t="s">
        <v>15</v>
      </c>
      <c r="B21" s="3" t="s">
        <v>87</v>
      </c>
      <c r="C21" s="3" t="s">
        <v>88</v>
      </c>
      <c r="D21" s="3" t="s">
        <v>70</v>
      </c>
      <c r="E21" s="3" t="s">
        <v>89</v>
      </c>
      <c r="F21" s="4">
        <v>2</v>
      </c>
    </row>
    <row r="22" spans="1:6" ht="115.2" x14ac:dyDescent="0.3">
      <c r="A22" s="3" t="s">
        <v>38</v>
      </c>
      <c r="B22" s="3" t="s">
        <v>90</v>
      </c>
      <c r="C22" s="3" t="s">
        <v>91</v>
      </c>
      <c r="D22" s="3" t="s">
        <v>92</v>
      </c>
      <c r="E22" s="3" t="s">
        <v>93</v>
      </c>
      <c r="F22" s="4">
        <v>5</v>
      </c>
    </row>
    <row r="23" spans="1:6" ht="86.4" x14ac:dyDescent="0.3">
      <c r="A23" s="3" t="s">
        <v>94</v>
      </c>
      <c r="B23" s="3" t="s">
        <v>95</v>
      </c>
      <c r="C23" s="3" t="s">
        <v>96</v>
      </c>
      <c r="D23" s="3" t="s">
        <v>41</v>
      </c>
      <c r="E23" s="3" t="s">
        <v>97</v>
      </c>
      <c r="F23" s="4">
        <v>2</v>
      </c>
    </row>
    <row r="24" spans="1:6" ht="115.2" x14ac:dyDescent="0.3">
      <c r="A24" s="3" t="s">
        <v>98</v>
      </c>
      <c r="B24" s="3" t="s">
        <v>99</v>
      </c>
      <c r="C24" s="3" t="s">
        <v>100</v>
      </c>
      <c r="D24" s="3" t="s">
        <v>101</v>
      </c>
      <c r="E24" s="3" t="s">
        <v>102</v>
      </c>
      <c r="F24" s="4">
        <v>4</v>
      </c>
    </row>
    <row r="25" spans="1:6" ht="172.8" x14ac:dyDescent="0.3">
      <c r="A25" s="3" t="s">
        <v>103</v>
      </c>
      <c r="B25" s="3" t="s">
        <v>104</v>
      </c>
      <c r="C25" s="3" t="s">
        <v>105</v>
      </c>
      <c r="D25" s="3" t="s">
        <v>36</v>
      </c>
      <c r="E25" s="3" t="s">
        <v>106</v>
      </c>
      <c r="F25" s="4">
        <v>12</v>
      </c>
    </row>
    <row r="26" spans="1:6" ht="115.2" x14ac:dyDescent="0.3">
      <c r="A26" s="3" t="s">
        <v>107</v>
      </c>
      <c r="B26" s="3" t="s">
        <v>108</v>
      </c>
      <c r="C26" s="3" t="s">
        <v>109</v>
      </c>
      <c r="D26" s="3" t="s">
        <v>101</v>
      </c>
      <c r="E26" s="3" t="s">
        <v>110</v>
      </c>
      <c r="F26" s="4">
        <v>2</v>
      </c>
    </row>
    <row r="27" spans="1:6" ht="86.4" x14ac:dyDescent="0.3">
      <c r="A27" s="3" t="s">
        <v>111</v>
      </c>
      <c r="B27" s="3" t="s">
        <v>112</v>
      </c>
      <c r="C27" s="3" t="s">
        <v>113</v>
      </c>
      <c r="D27" s="3" t="s">
        <v>70</v>
      </c>
      <c r="E27" s="3" t="s">
        <v>114</v>
      </c>
      <c r="F27" s="4">
        <v>2</v>
      </c>
    </row>
    <row r="28" spans="1:6" ht="86.4" x14ac:dyDescent="0.3">
      <c r="A28" s="3" t="s">
        <v>115</v>
      </c>
      <c r="B28" s="3" t="s">
        <v>116</v>
      </c>
      <c r="C28" s="3" t="s">
        <v>117</v>
      </c>
      <c r="D28" s="3" t="s">
        <v>70</v>
      </c>
      <c r="E28" s="3" t="s">
        <v>118</v>
      </c>
      <c r="F28" s="4">
        <v>2</v>
      </c>
    </row>
    <row r="29" spans="1:6" ht="86.4" x14ac:dyDescent="0.3">
      <c r="A29" s="3" t="s">
        <v>119</v>
      </c>
      <c r="B29" s="3" t="s">
        <v>120</v>
      </c>
      <c r="C29" s="3" t="s">
        <v>121</v>
      </c>
      <c r="D29" s="3" t="s">
        <v>122</v>
      </c>
      <c r="E29" s="3" t="s">
        <v>123</v>
      </c>
      <c r="F29" s="4">
        <v>5</v>
      </c>
    </row>
    <row r="30" spans="1:6" ht="86.4" x14ac:dyDescent="0.3">
      <c r="A30" s="3" t="s">
        <v>124</v>
      </c>
      <c r="B30" s="3" t="s">
        <v>125</v>
      </c>
      <c r="C30" s="3" t="s">
        <v>126</v>
      </c>
      <c r="D30" s="3" t="s">
        <v>127</v>
      </c>
      <c r="E30" s="3" t="s">
        <v>128</v>
      </c>
      <c r="F30" s="4">
        <v>2</v>
      </c>
    </row>
    <row r="31" spans="1:6" ht="86.4" x14ac:dyDescent="0.3">
      <c r="A31" s="3" t="s">
        <v>129</v>
      </c>
      <c r="B31" s="3" t="s">
        <v>130</v>
      </c>
      <c r="C31" s="3" t="s">
        <v>131</v>
      </c>
      <c r="D31" s="3" t="s">
        <v>132</v>
      </c>
      <c r="E31" s="3" t="s">
        <v>133</v>
      </c>
      <c r="F31" s="4">
        <v>2</v>
      </c>
    </row>
    <row r="32" spans="1:6" ht="72" x14ac:dyDescent="0.3">
      <c r="A32" s="3" t="s">
        <v>134</v>
      </c>
      <c r="B32" s="3" t="s">
        <v>135</v>
      </c>
      <c r="C32" s="3" t="s">
        <v>136</v>
      </c>
      <c r="D32" s="3" t="s">
        <v>137</v>
      </c>
      <c r="E32" s="3" t="s">
        <v>138</v>
      </c>
      <c r="F32" s="4">
        <v>1</v>
      </c>
    </row>
    <row r="33" spans="1:6" ht="115.2" x14ac:dyDescent="0.3">
      <c r="A33" s="3" t="s">
        <v>139</v>
      </c>
      <c r="B33" s="3" t="s">
        <v>140</v>
      </c>
      <c r="C33" s="3" t="s">
        <v>141</v>
      </c>
      <c r="D33" s="3" t="s">
        <v>142</v>
      </c>
      <c r="E33" s="3" t="s">
        <v>139</v>
      </c>
      <c r="F33" s="4">
        <v>1</v>
      </c>
    </row>
    <row r="34" spans="1:6" ht="158.4" x14ac:dyDescent="0.3">
      <c r="A34" s="3" t="s">
        <v>143</v>
      </c>
      <c r="B34" s="3" t="s">
        <v>144</v>
      </c>
      <c r="C34" s="3" t="s">
        <v>145</v>
      </c>
      <c r="D34" s="3" t="s">
        <v>143</v>
      </c>
      <c r="E34" s="3" t="s">
        <v>143</v>
      </c>
      <c r="F34" s="4">
        <v>1</v>
      </c>
    </row>
    <row r="35" spans="1:6" ht="172.8" x14ac:dyDescent="0.3">
      <c r="A35" s="3" t="s">
        <v>146</v>
      </c>
      <c r="B35" s="3" t="s">
        <v>147</v>
      </c>
      <c r="C35" s="3" t="s">
        <v>148</v>
      </c>
      <c r="D35" s="3" t="s">
        <v>146</v>
      </c>
      <c r="E35" s="3" t="s">
        <v>146</v>
      </c>
      <c r="F35" s="4">
        <v>1</v>
      </c>
    </row>
    <row r="36" spans="1:6" ht="100.8" x14ac:dyDescent="0.3">
      <c r="A36" s="3" t="s">
        <v>149</v>
      </c>
      <c r="B36" s="3" t="s">
        <v>150</v>
      </c>
      <c r="C36" s="3" t="s">
        <v>151</v>
      </c>
      <c r="D36" s="3" t="s">
        <v>149</v>
      </c>
      <c r="E36" s="3" t="s">
        <v>149</v>
      </c>
      <c r="F36" s="4">
        <v>1</v>
      </c>
    </row>
    <row r="37" spans="1:6" ht="144" x14ac:dyDescent="0.3">
      <c r="A37" s="3" t="s">
        <v>152</v>
      </c>
      <c r="B37" s="3" t="s">
        <v>153</v>
      </c>
      <c r="C37" s="3" t="s">
        <v>154</v>
      </c>
      <c r="D37" s="3" t="s">
        <v>152</v>
      </c>
      <c r="E37" s="3" t="s">
        <v>152</v>
      </c>
      <c r="F37" s="4">
        <v>1</v>
      </c>
    </row>
    <row r="38" spans="1:6" ht="129.6" x14ac:dyDescent="0.3">
      <c r="A38" s="3" t="s">
        <v>155</v>
      </c>
      <c r="B38" s="3" t="s">
        <v>156</v>
      </c>
      <c r="C38" s="3" t="s">
        <v>157</v>
      </c>
      <c r="D38" s="3" t="s">
        <v>158</v>
      </c>
      <c r="E38" s="3" t="s">
        <v>155</v>
      </c>
      <c r="F38" s="4">
        <v>3</v>
      </c>
    </row>
    <row r="39" spans="1:6" ht="86.4" x14ac:dyDescent="0.3">
      <c r="A39" s="3" t="s">
        <v>159</v>
      </c>
      <c r="B39" s="3" t="s">
        <v>160</v>
      </c>
      <c r="C39" s="3" t="s">
        <v>161</v>
      </c>
      <c r="D39" s="3" t="s">
        <v>162</v>
      </c>
      <c r="E39" s="3" t="s">
        <v>163</v>
      </c>
      <c r="F39" s="4">
        <v>2</v>
      </c>
    </row>
    <row r="40" spans="1:6" ht="86.4" x14ac:dyDescent="0.3">
      <c r="A40" s="3" t="s">
        <v>164</v>
      </c>
      <c r="B40" s="3" t="s">
        <v>165</v>
      </c>
      <c r="C40" s="3" t="s">
        <v>166</v>
      </c>
      <c r="D40" s="3" t="s">
        <v>167</v>
      </c>
      <c r="E40" s="3" t="s">
        <v>168</v>
      </c>
      <c r="F40" s="4">
        <v>2</v>
      </c>
    </row>
    <row r="41" spans="1:6" ht="86.4" x14ac:dyDescent="0.3">
      <c r="A41" s="3" t="s">
        <v>169</v>
      </c>
      <c r="B41" s="3" t="s">
        <v>170</v>
      </c>
      <c r="C41" s="3" t="s">
        <v>171</v>
      </c>
      <c r="D41" s="3" t="s">
        <v>167</v>
      </c>
      <c r="E41" s="3" t="s">
        <v>172</v>
      </c>
      <c r="F41" s="4">
        <v>1</v>
      </c>
    </row>
    <row r="42" spans="1:6" ht="86.4" x14ac:dyDescent="0.3">
      <c r="A42" s="3" t="s">
        <v>173</v>
      </c>
      <c r="B42" s="3" t="s">
        <v>174</v>
      </c>
      <c r="C42" s="3" t="s">
        <v>175</v>
      </c>
      <c r="D42" s="3" t="s">
        <v>167</v>
      </c>
      <c r="E42" s="3" t="s">
        <v>176</v>
      </c>
      <c r="F42" s="4">
        <v>1</v>
      </c>
    </row>
    <row r="43" spans="1:6" ht="100.8" x14ac:dyDescent="0.3">
      <c r="A43" s="3" t="s">
        <v>159</v>
      </c>
      <c r="B43" s="3" t="s">
        <v>177</v>
      </c>
      <c r="C43" s="3" t="s">
        <v>178</v>
      </c>
      <c r="D43" s="3" t="s">
        <v>179</v>
      </c>
      <c r="E43" s="3" t="s">
        <v>180</v>
      </c>
      <c r="F43" s="4">
        <v>2</v>
      </c>
    </row>
    <row r="44" spans="1:6" ht="115.2" x14ac:dyDescent="0.3">
      <c r="A44" s="3" t="s">
        <v>181</v>
      </c>
      <c r="B44" s="3" t="s">
        <v>182</v>
      </c>
      <c r="C44" s="3" t="s">
        <v>183</v>
      </c>
      <c r="D44" s="3" t="s">
        <v>184</v>
      </c>
      <c r="E44" s="3" t="s">
        <v>185</v>
      </c>
      <c r="F44" s="4">
        <v>4</v>
      </c>
    </row>
    <row r="45" spans="1:6" ht="100.8" x14ac:dyDescent="0.3">
      <c r="A45" s="3" t="s">
        <v>186</v>
      </c>
      <c r="B45" s="3" t="s">
        <v>187</v>
      </c>
      <c r="C45" s="3" t="s">
        <v>188</v>
      </c>
      <c r="D45" s="3" t="s">
        <v>189</v>
      </c>
      <c r="E45" s="3" t="s">
        <v>190</v>
      </c>
      <c r="F45" s="4">
        <v>4</v>
      </c>
    </row>
    <row r="46" spans="1:6" ht="115.2" x14ac:dyDescent="0.3">
      <c r="A46" s="3" t="s">
        <v>191</v>
      </c>
      <c r="B46" s="3" t="s">
        <v>192</v>
      </c>
      <c r="C46" s="3" t="s">
        <v>193</v>
      </c>
      <c r="D46" s="3" t="s">
        <v>18</v>
      </c>
      <c r="E46" s="3" t="s">
        <v>194</v>
      </c>
      <c r="F46" s="4">
        <v>1</v>
      </c>
    </row>
    <row r="47" spans="1:6" ht="115.2" x14ac:dyDescent="0.3">
      <c r="A47" s="3" t="s">
        <v>195</v>
      </c>
      <c r="B47" s="3" t="s">
        <v>196</v>
      </c>
      <c r="C47" s="3" t="s">
        <v>197</v>
      </c>
      <c r="D47" s="3" t="s">
        <v>198</v>
      </c>
      <c r="E47" s="3" t="s">
        <v>199</v>
      </c>
      <c r="F47" s="4">
        <v>4</v>
      </c>
    </row>
    <row r="48" spans="1:6" ht="115.2" x14ac:dyDescent="0.3">
      <c r="A48" s="3" t="s">
        <v>200</v>
      </c>
      <c r="B48" s="3" t="s">
        <v>201</v>
      </c>
      <c r="C48" s="3" t="s">
        <v>202</v>
      </c>
      <c r="D48" s="3" t="s">
        <v>198</v>
      </c>
      <c r="E48" s="3" t="s">
        <v>203</v>
      </c>
      <c r="F48" s="4">
        <v>5</v>
      </c>
    </row>
    <row r="49" spans="1:6" ht="100.8" x14ac:dyDescent="0.3">
      <c r="A49" s="3" t="s">
        <v>204</v>
      </c>
      <c r="B49" s="3" t="s">
        <v>205</v>
      </c>
      <c r="C49" s="3" t="s">
        <v>206</v>
      </c>
      <c r="D49" s="3" t="s">
        <v>198</v>
      </c>
      <c r="E49" s="3" t="s">
        <v>207</v>
      </c>
      <c r="F49" s="4">
        <v>18</v>
      </c>
    </row>
    <row r="50" spans="1:6" ht="100.8" x14ac:dyDescent="0.3">
      <c r="A50" s="3" t="s">
        <v>208</v>
      </c>
      <c r="B50" s="3" t="s">
        <v>209</v>
      </c>
      <c r="C50" s="3" t="s">
        <v>210</v>
      </c>
      <c r="D50" s="3" t="s">
        <v>198</v>
      </c>
      <c r="E50" s="3" t="s">
        <v>211</v>
      </c>
      <c r="F50" s="4">
        <v>2</v>
      </c>
    </row>
    <row r="51" spans="1:6" ht="100.8" x14ac:dyDescent="0.3">
      <c r="A51" s="3" t="s">
        <v>212</v>
      </c>
      <c r="B51" s="3" t="s">
        <v>213</v>
      </c>
      <c r="C51" s="3" t="s">
        <v>214</v>
      </c>
      <c r="D51" s="3" t="s">
        <v>198</v>
      </c>
      <c r="E51" s="3" t="s">
        <v>215</v>
      </c>
      <c r="F51" s="4">
        <v>2</v>
      </c>
    </row>
    <row r="52" spans="1:6" ht="100.8" x14ac:dyDescent="0.3">
      <c r="A52" s="3" t="s">
        <v>216</v>
      </c>
      <c r="B52" s="3" t="s">
        <v>217</v>
      </c>
      <c r="C52" s="3" t="s">
        <v>218</v>
      </c>
      <c r="D52" s="3" t="s">
        <v>198</v>
      </c>
      <c r="E52" s="3" t="s">
        <v>219</v>
      </c>
      <c r="F52" s="4">
        <v>1</v>
      </c>
    </row>
    <row r="53" spans="1:6" ht="115.2" x14ac:dyDescent="0.3">
      <c r="A53" s="3" t="s">
        <v>220</v>
      </c>
      <c r="B53" s="3" t="s">
        <v>221</v>
      </c>
      <c r="C53" s="3" t="s">
        <v>222</v>
      </c>
      <c r="D53" s="3" t="s">
        <v>198</v>
      </c>
      <c r="E53" s="3" t="s">
        <v>223</v>
      </c>
      <c r="F53" s="4">
        <v>1</v>
      </c>
    </row>
    <row r="54" spans="1:6" ht="115.2" x14ac:dyDescent="0.3">
      <c r="A54" s="3" t="s">
        <v>224</v>
      </c>
      <c r="B54" s="3" t="s">
        <v>225</v>
      </c>
      <c r="C54" s="3" t="s">
        <v>226</v>
      </c>
      <c r="D54" s="3" t="s">
        <v>198</v>
      </c>
      <c r="E54" s="3" t="s">
        <v>227</v>
      </c>
      <c r="F54" s="4">
        <v>1</v>
      </c>
    </row>
    <row r="55" spans="1:6" ht="115.2" x14ac:dyDescent="0.3">
      <c r="A55" s="3" t="s">
        <v>228</v>
      </c>
      <c r="B55" s="3" t="s">
        <v>229</v>
      </c>
      <c r="C55" s="3" t="s">
        <v>230</v>
      </c>
      <c r="D55" s="3" t="s">
        <v>198</v>
      </c>
      <c r="E55" s="3" t="s">
        <v>231</v>
      </c>
      <c r="F55" s="4">
        <v>1</v>
      </c>
    </row>
    <row r="56" spans="1:6" ht="100.8" x14ac:dyDescent="0.3">
      <c r="A56" s="3" t="s">
        <v>232</v>
      </c>
      <c r="B56" s="3" t="s">
        <v>233</v>
      </c>
      <c r="C56" s="3" t="s">
        <v>234</v>
      </c>
      <c r="D56" s="3" t="s">
        <v>198</v>
      </c>
      <c r="E56" s="3" t="s">
        <v>235</v>
      </c>
      <c r="F56" s="4">
        <v>1</v>
      </c>
    </row>
    <row r="57" spans="1:6" ht="115.2" x14ac:dyDescent="0.3">
      <c r="A57" s="3" t="s">
        <v>236</v>
      </c>
      <c r="B57" s="3" t="s">
        <v>237</v>
      </c>
      <c r="C57" s="3" t="s">
        <v>238</v>
      </c>
      <c r="D57" s="3" t="s">
        <v>198</v>
      </c>
      <c r="E57" s="3" t="s">
        <v>239</v>
      </c>
      <c r="F57" s="4">
        <v>6</v>
      </c>
    </row>
    <row r="58" spans="1:6" ht="115.2" x14ac:dyDescent="0.3">
      <c r="A58" s="3" t="s">
        <v>240</v>
      </c>
      <c r="B58" s="3" t="s">
        <v>241</v>
      </c>
      <c r="C58" s="3" t="s">
        <v>242</v>
      </c>
      <c r="D58" s="3" t="s">
        <v>198</v>
      </c>
      <c r="E58" s="3" t="s">
        <v>243</v>
      </c>
      <c r="F58" s="4">
        <v>2</v>
      </c>
    </row>
    <row r="59" spans="1:6" ht="115.2" x14ac:dyDescent="0.3">
      <c r="A59" s="3" t="s">
        <v>244</v>
      </c>
      <c r="B59" s="3" t="s">
        <v>245</v>
      </c>
      <c r="C59" s="3" t="s">
        <v>246</v>
      </c>
      <c r="D59" s="3" t="s">
        <v>198</v>
      </c>
      <c r="E59" s="3" t="s">
        <v>247</v>
      </c>
      <c r="F59" s="4">
        <v>2</v>
      </c>
    </row>
    <row r="60" spans="1:6" ht="115.2" x14ac:dyDescent="0.3">
      <c r="A60" s="3" t="s">
        <v>248</v>
      </c>
      <c r="B60" s="3" t="s">
        <v>249</v>
      </c>
      <c r="C60" s="3" t="s">
        <v>250</v>
      </c>
      <c r="D60" s="3" t="s">
        <v>198</v>
      </c>
      <c r="E60" s="3" t="s">
        <v>251</v>
      </c>
      <c r="F60" s="4">
        <v>2</v>
      </c>
    </row>
    <row r="61" spans="1:6" ht="115.2" x14ac:dyDescent="0.3">
      <c r="A61" s="3" t="s">
        <v>252</v>
      </c>
      <c r="B61" s="3" t="s">
        <v>253</v>
      </c>
      <c r="C61" s="3" t="s">
        <v>254</v>
      </c>
      <c r="D61" s="3" t="s">
        <v>198</v>
      </c>
      <c r="E61" s="3" t="s">
        <v>255</v>
      </c>
      <c r="F61" s="4">
        <v>4</v>
      </c>
    </row>
    <row r="62" spans="1:6" ht="100.8" x14ac:dyDescent="0.3">
      <c r="A62" s="3" t="s">
        <v>256</v>
      </c>
      <c r="B62" s="3" t="s">
        <v>257</v>
      </c>
      <c r="C62" s="3" t="s">
        <v>258</v>
      </c>
      <c r="D62" s="3" t="s">
        <v>198</v>
      </c>
      <c r="E62" s="3" t="s">
        <v>259</v>
      </c>
      <c r="F62" s="4">
        <v>2</v>
      </c>
    </row>
    <row r="63" spans="1:6" ht="100.8" x14ac:dyDescent="0.3">
      <c r="A63" s="3" t="s">
        <v>260</v>
      </c>
      <c r="B63" s="3" t="s">
        <v>261</v>
      </c>
      <c r="C63" s="3" t="s">
        <v>262</v>
      </c>
      <c r="D63" s="3" t="s">
        <v>198</v>
      </c>
      <c r="E63" s="3" t="s">
        <v>263</v>
      </c>
      <c r="F63" s="4">
        <v>2</v>
      </c>
    </row>
    <row r="64" spans="1:6" ht="72" x14ac:dyDescent="0.3">
      <c r="A64" s="3" t="s">
        <v>264</v>
      </c>
      <c r="B64" s="3" t="s">
        <v>265</v>
      </c>
      <c r="C64" s="3" t="s">
        <v>266</v>
      </c>
      <c r="D64" s="3" t="s">
        <v>267</v>
      </c>
      <c r="E64" s="3" t="s">
        <v>264</v>
      </c>
      <c r="F64" s="4">
        <v>2</v>
      </c>
    </row>
    <row r="65" spans="1:6" ht="115.2" x14ac:dyDescent="0.3">
      <c r="A65" s="3" t="s">
        <v>268</v>
      </c>
      <c r="B65" s="3" t="s">
        <v>269</v>
      </c>
      <c r="C65" s="3" t="s">
        <v>270</v>
      </c>
      <c r="D65" s="3" t="s">
        <v>271</v>
      </c>
      <c r="E65" s="3" t="s">
        <v>272</v>
      </c>
      <c r="F65" s="4">
        <v>8</v>
      </c>
    </row>
    <row r="66" spans="1:6" ht="72" x14ac:dyDescent="0.3">
      <c r="A66" s="3" t="s">
        <v>273</v>
      </c>
      <c r="B66" s="3" t="s">
        <v>274</v>
      </c>
      <c r="C66" s="3" t="s">
        <v>275</v>
      </c>
      <c r="D66" s="3" t="s">
        <v>276</v>
      </c>
      <c r="E66" s="3" t="s">
        <v>273</v>
      </c>
      <c r="F66" s="4">
        <v>1</v>
      </c>
    </row>
    <row r="67" spans="1:6" ht="115.2" x14ac:dyDescent="0.3">
      <c r="A67" s="3" t="s">
        <v>277</v>
      </c>
      <c r="B67" s="3" t="s">
        <v>278</v>
      </c>
      <c r="C67" s="3" t="s">
        <v>279</v>
      </c>
      <c r="D67" s="3" t="s">
        <v>280</v>
      </c>
      <c r="E67" s="3" t="s">
        <v>277</v>
      </c>
      <c r="F67" s="4">
        <v>1</v>
      </c>
    </row>
    <row r="68" spans="1:6" ht="172.8" x14ac:dyDescent="0.3">
      <c r="A68" s="3" t="s">
        <v>281</v>
      </c>
      <c r="B68" s="3" t="s">
        <v>282</v>
      </c>
      <c r="C68" s="3" t="s">
        <v>283</v>
      </c>
      <c r="D68" s="3" t="s">
        <v>284</v>
      </c>
      <c r="E68" s="3" t="s">
        <v>281</v>
      </c>
      <c r="F68" s="4">
        <v>1</v>
      </c>
    </row>
    <row r="69" spans="1:6" ht="244.8" x14ac:dyDescent="0.3">
      <c r="A69" s="3" t="s">
        <v>285</v>
      </c>
      <c r="B69" s="3" t="s">
        <v>286</v>
      </c>
      <c r="C69" s="3" t="s">
        <v>287</v>
      </c>
      <c r="D69" s="3" t="s">
        <v>288</v>
      </c>
      <c r="E69" s="3" t="s">
        <v>285</v>
      </c>
      <c r="F69" s="4">
        <v>1</v>
      </c>
    </row>
    <row r="70" spans="1:6" ht="216" x14ac:dyDescent="0.3">
      <c r="A70" s="3" t="s">
        <v>289</v>
      </c>
      <c r="B70" s="3" t="s">
        <v>290</v>
      </c>
      <c r="C70" s="3" t="s">
        <v>291</v>
      </c>
      <c r="D70" s="3" t="s">
        <v>288</v>
      </c>
      <c r="E70" s="3" t="s">
        <v>289</v>
      </c>
      <c r="F70" s="4">
        <v>1</v>
      </c>
    </row>
    <row r="71" spans="1:6" ht="100.8" x14ac:dyDescent="0.3">
      <c r="A71" s="3" t="s">
        <v>292</v>
      </c>
      <c r="B71" s="3" t="s">
        <v>293</v>
      </c>
      <c r="C71" s="3" t="s">
        <v>294</v>
      </c>
      <c r="D71" s="3" t="s">
        <v>292</v>
      </c>
      <c r="E71" s="3" t="s">
        <v>292</v>
      </c>
      <c r="F71" s="4">
        <v>1</v>
      </c>
    </row>
    <row r="72" spans="1:6" ht="201.6" x14ac:dyDescent="0.3">
      <c r="A72" s="3" t="s">
        <v>295</v>
      </c>
      <c r="B72" s="3" t="s">
        <v>296</v>
      </c>
      <c r="C72" s="3" t="s">
        <v>297</v>
      </c>
      <c r="D72" s="3" t="s">
        <v>298</v>
      </c>
      <c r="E72" s="3" t="s">
        <v>295</v>
      </c>
      <c r="F72" s="4">
        <v>1</v>
      </c>
    </row>
    <row r="73" spans="1:6" ht="187.2" x14ac:dyDescent="0.3">
      <c r="A73" s="3" t="s">
        <v>299</v>
      </c>
      <c r="B73" s="3" t="s">
        <v>300</v>
      </c>
      <c r="C73" s="3" t="s">
        <v>301</v>
      </c>
      <c r="D73" s="3" t="s">
        <v>298</v>
      </c>
      <c r="E73" s="3" t="s">
        <v>299</v>
      </c>
      <c r="F73" s="4">
        <v>1</v>
      </c>
    </row>
    <row r="74" spans="1:6" ht="86.4" x14ac:dyDescent="0.3">
      <c r="A74" s="3" t="s">
        <v>302</v>
      </c>
      <c r="B74" s="3" t="s">
        <v>303</v>
      </c>
      <c r="C74" s="3" t="s">
        <v>304</v>
      </c>
      <c r="D74" s="3" t="s">
        <v>305</v>
      </c>
      <c r="E74" s="3" t="s">
        <v>302</v>
      </c>
      <c r="F74" s="4">
        <v>2</v>
      </c>
    </row>
    <row r="75" spans="1:6" ht="187.2" x14ac:dyDescent="0.3">
      <c r="A75" s="3" t="s">
        <v>306</v>
      </c>
      <c r="B75" s="3" t="s">
        <v>307</v>
      </c>
      <c r="C75" s="3" t="s">
        <v>308</v>
      </c>
      <c r="D75" s="3" t="s">
        <v>309</v>
      </c>
      <c r="E75" s="3" t="s">
        <v>306</v>
      </c>
      <c r="F75" s="4">
        <v>2</v>
      </c>
    </row>
    <row r="76" spans="1:6" ht="86.4" x14ac:dyDescent="0.3">
      <c r="A76" s="3" t="s">
        <v>310</v>
      </c>
      <c r="B76" s="3" t="s">
        <v>311</v>
      </c>
      <c r="C76" s="3" t="s">
        <v>312</v>
      </c>
      <c r="D76" s="3" t="s">
        <v>313</v>
      </c>
      <c r="E76" s="3" t="s">
        <v>314</v>
      </c>
      <c r="F76" s="4">
        <v>1</v>
      </c>
    </row>
    <row r="77" spans="1:6" x14ac:dyDescent="0.3">
      <c r="A77" s="6" t="s">
        <v>315</v>
      </c>
      <c r="B77" s="6"/>
      <c r="C77" s="6"/>
      <c r="D77" s="6"/>
      <c r="E77" s="6"/>
      <c r="F77" s="4">
        <f>SUM(F2:F76)</f>
        <v>227</v>
      </c>
    </row>
  </sheetData>
  <mergeCells count="1">
    <mergeCell ref="A77:E7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Materials-Bluetooth_Spe</vt:lpstr>
      <vt:lpstr>'Bill of Materials-Bluetooth_Spe'!Print_Titles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Kavindu Makaranda</dc:creator>
  <cp:lastModifiedBy>Kavindu Makaranda</cp:lastModifiedBy>
  <dcterms:created xsi:type="dcterms:W3CDTF">2026-09-16T13:50:30Z</dcterms:created>
  <dcterms:modified xsi:type="dcterms:W3CDTF">2026-09-16T13:53:11Z</dcterms:modified>
</cp:coreProperties>
</file>